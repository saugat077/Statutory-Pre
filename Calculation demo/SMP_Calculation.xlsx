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K-Payroll\Statutory Leave and Pay\Calculation demo\"/>
    </mc:Choice>
  </mc:AlternateContent>
  <xr:revisionPtr revIDLastSave="0" documentId="13_ncr:1_{0BDFCF7F-C3C5-4C9F-92E7-4F417D063F31}" xr6:coauthVersionLast="47" xr6:coauthVersionMax="47" xr10:uidLastSave="{00000000-0000-0000-0000-000000000000}"/>
  <bookViews>
    <workbookView xWindow="-108" yWindow="-108" windowWidth="23256" windowHeight="12456" xr2:uid="{54BACE44-3DFD-4A4B-8686-A0AF3799897D}"/>
  </bookViews>
  <sheets>
    <sheet name="S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 s="1"/>
  <c r="C14" i="1" s="1"/>
  <c r="C5" i="1"/>
  <c r="C12" i="1" l="1"/>
  <c r="C13" i="1" s="1"/>
  <c r="C15" i="1" l="1"/>
</calcChain>
</file>

<file path=xl/sharedStrings.xml><?xml version="1.0" encoding="utf-8"?>
<sst xmlns="http://schemas.openxmlformats.org/spreadsheetml/2006/main" count="23" uniqueCount="22">
  <si>
    <t>Pay Frequency</t>
  </si>
  <si>
    <t>Annual to Pay Period</t>
  </si>
  <si>
    <t>SMP Flat Rate</t>
  </si>
  <si>
    <t>Monthly</t>
  </si>
  <si>
    <t>Pay Frequency:</t>
  </si>
  <si>
    <t>Weekly</t>
  </si>
  <si>
    <t>First x no. of Weeks for AWE:</t>
  </si>
  <si>
    <t>(Standard: First 6 weeks at higher rate)</t>
  </si>
  <si>
    <t>Bi-weekly</t>
  </si>
  <si>
    <t>4-weekly</t>
  </si>
  <si>
    <t>Total Weeks</t>
  </si>
  <si>
    <t>Statutory Percentage:</t>
  </si>
  <si>
    <t>(90% of AWE for first 6 weeks)</t>
  </si>
  <si>
    <t>Original Annual Salary</t>
  </si>
  <si>
    <t>Per Pay Period</t>
  </si>
  <si>
    <t>SMP for first 6 weeks(to be)</t>
  </si>
  <si>
    <t>SMP for Remaining Weeks</t>
  </si>
  <si>
    <t>Total SMP</t>
  </si>
  <si>
    <t>Remaining weeks</t>
  </si>
  <si>
    <t xml:space="preserve"> AWE</t>
  </si>
  <si>
    <t>SMP per week</t>
  </si>
  <si>
    <t>SMP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</si>
</sst>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\£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b/>
      <sz val="11"/>
      <name val="Calibri"/>
      <family val="2"/>
    </font>
    <font>
      <sz val="11"/>
      <color theme="1"/>
      <name val="Segoe UI"/>
      <family val="2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9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164" fontId="3" fillId="0" borderId="0" xfId="0" applyNumberFormat="1" applyFont="1" applyFill="1" applyBorder="1" applyAlignment="1">
      <alignment horizontal="left" vertical="center"/>
    </xf>
    <xf numFmtId="164" fontId="7" fillId="0" borderId="0" xfId="0" applyNumberFormat="1" applyFont="1" applyFill="1" applyBorder="1" applyAlignment="1">
      <alignment horizontal="left" vertical="center" wrapText="1"/>
    </xf>
    <xf numFmtId="165" fontId="3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64" fontId="7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164" fontId="8" fillId="0" borderId="0" xfId="0" applyNumberFormat="1" applyFont="1" applyFill="1" applyBorder="1" applyAlignment="1">
      <alignment horizontal="left" vertical="center"/>
    </xf>
    <xf numFmtId="2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164" fontId="9" fillId="0" borderId="0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165" fontId="0" fillId="0" borderId="0" xfId="0" applyNumberFormat="1" applyFill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64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5" Type="http://schemas.openxmlformats.org/officeDocument/2006/relationships/customXml" Target="../ink/ink2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752460</xdr:colOff>
      <xdr:row>28</xdr:row>
      <xdr:rowOff>0</xdr:rowOff>
    </xdr:from>
    <xdr:to>
      <xdr:col>7</xdr:col>
      <xdr:colOff>895695</xdr:colOff>
      <xdr:row>28</xdr:row>
      <xdr:rowOff>3450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004F81E-0CFF-4668-94C4-4117DB3D93F6}"/>
                </a:ext>
              </a:extLst>
            </xdr14:cNvPr>
            <xdr14:cNvContentPartPr/>
          </xdr14:nvContentPartPr>
          <xdr14:nvPr macro=""/>
          <xdr14:xfrm>
            <a:off x="15649560" y="41050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8AE0CA2-0A2C-AE94-B97D-1D76D9EE0EF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643440" y="4098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1133205</xdr:colOff>
      <xdr:row>13</xdr:row>
      <xdr:rowOff>113910</xdr:rowOff>
    </xdr:from>
    <xdr:to>
      <xdr:col>10</xdr:col>
      <xdr:colOff>476340</xdr:colOff>
      <xdr:row>13</xdr:row>
      <xdr:rowOff>114270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165CCA1-47A8-43EE-BCD9-B6FFA1E2DB6F}"/>
                </a:ext>
              </a:extLst>
            </xdr14:cNvPr>
            <xdr14:cNvContentPartPr/>
          </xdr14:nvContentPartPr>
          <xdr14:nvPr macro=""/>
          <xdr14:xfrm>
            <a:off x="16973280" y="203796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55D5601-56DD-BB40-9AFB-ED3DA3C6564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967160" y="2031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4:47:42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04T04:47:42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618F-FB23-4807-B4B8-771AF2AAB9C1}">
  <dimension ref="A1:J27"/>
  <sheetViews>
    <sheetView tabSelected="1" zoomScale="115" zoomScaleNormal="115" workbookViewId="0">
      <selection activeCell="C10" sqref="C10"/>
    </sheetView>
  </sheetViews>
  <sheetFormatPr defaultColWidth="17.21875" defaultRowHeight="14.4" x14ac:dyDescent="0.3"/>
  <cols>
    <col min="1" max="1" width="12.77734375" style="1" customWidth="1"/>
    <col min="2" max="2" width="26.33203125" style="1" bestFit="1" customWidth="1"/>
    <col min="3" max="3" width="13.33203125" style="3" customWidth="1"/>
    <col min="4" max="4" width="34.44140625" style="1" bestFit="1" customWidth="1"/>
    <col min="5" max="5" width="6.5546875" style="1" customWidth="1"/>
    <col min="6" max="6" width="11.33203125" style="1" bestFit="1" customWidth="1"/>
    <col min="7" max="7" width="14.44140625" style="1" bestFit="1" customWidth="1"/>
    <col min="8" max="8" width="15.44140625" style="1" bestFit="1" customWidth="1"/>
    <col min="9" max="9" width="20.77734375" style="3" bestFit="1" customWidth="1"/>
    <col min="10" max="10" width="17.21875" style="1"/>
    <col min="11" max="11" width="32.21875" style="1" bestFit="1" customWidth="1"/>
    <col min="12" max="16384" width="17.21875" style="1"/>
  </cols>
  <sheetData>
    <row r="1" spans="1:10" x14ac:dyDescent="0.3">
      <c r="B1" s="4" t="s">
        <v>2</v>
      </c>
      <c r="C1" s="36">
        <v>194.32</v>
      </c>
    </row>
    <row r="2" spans="1:10" ht="33.6" x14ac:dyDescent="0.3">
      <c r="B2" s="4" t="s">
        <v>4</v>
      </c>
      <c r="C2" s="4" t="s">
        <v>3</v>
      </c>
      <c r="F2" s="2" t="s">
        <v>0</v>
      </c>
      <c r="G2" s="2" t="s">
        <v>1</v>
      </c>
    </row>
    <row r="3" spans="1:10" ht="16.8" x14ac:dyDescent="0.3">
      <c r="B3" s="4" t="s">
        <v>6</v>
      </c>
      <c r="C3" s="4">
        <v>6</v>
      </c>
      <c r="D3" s="1" t="s">
        <v>7</v>
      </c>
      <c r="F3" s="5" t="s">
        <v>3</v>
      </c>
      <c r="G3" s="5">
        <v>12</v>
      </c>
    </row>
    <row r="4" spans="1:10" ht="16.8" x14ac:dyDescent="0.3">
      <c r="B4" s="4" t="s">
        <v>18</v>
      </c>
      <c r="C4" s="4">
        <v>33</v>
      </c>
      <c r="F4" s="6" t="s">
        <v>5</v>
      </c>
      <c r="G4" s="6">
        <v>52</v>
      </c>
    </row>
    <row r="5" spans="1:10" ht="16.8" x14ac:dyDescent="0.3">
      <c r="B5" s="4" t="s">
        <v>10</v>
      </c>
      <c r="C5" s="4">
        <f>C3+C4</f>
        <v>39</v>
      </c>
      <c r="F5" s="5" t="s">
        <v>8</v>
      </c>
      <c r="G5" s="5">
        <v>26</v>
      </c>
    </row>
    <row r="6" spans="1:10" ht="16.8" x14ac:dyDescent="0.3">
      <c r="B6" s="4" t="s">
        <v>11</v>
      </c>
      <c r="C6" s="7">
        <v>0.9</v>
      </c>
      <c r="D6" s="1" t="s">
        <v>12</v>
      </c>
      <c r="F6" s="5" t="s">
        <v>9</v>
      </c>
      <c r="G6" s="5">
        <v>13</v>
      </c>
    </row>
    <row r="7" spans="1:10" x14ac:dyDescent="0.3">
      <c r="C7" s="1"/>
      <c r="D7" s="12"/>
      <c r="E7" s="12"/>
      <c r="F7" s="12"/>
    </row>
    <row r="8" spans="1:10" ht="18" x14ac:dyDescent="0.3">
      <c r="B8" s="35" t="s">
        <v>21</v>
      </c>
      <c r="C8" s="27"/>
      <c r="D8" s="13"/>
      <c r="E8" s="14"/>
      <c r="F8" s="15"/>
      <c r="I8" s="1"/>
    </row>
    <row r="9" spans="1:10" x14ac:dyDescent="0.3">
      <c r="B9" s="28" t="s">
        <v>13</v>
      </c>
      <c r="C9" s="29">
        <v>60000</v>
      </c>
      <c r="D9" s="16"/>
      <c r="E9" s="17"/>
      <c r="F9" s="15"/>
      <c r="G9" s="8"/>
      <c r="H9" s="3"/>
      <c r="I9" s="1"/>
      <c r="J9" s="3"/>
    </row>
    <row r="10" spans="1:10" x14ac:dyDescent="0.3">
      <c r="B10" s="30" t="s">
        <v>14</v>
      </c>
      <c r="C10" s="31">
        <f>C9/_xlfn.XLOOKUP(C2,F3:F6,G3:G6)</f>
        <v>5000</v>
      </c>
      <c r="D10" s="15"/>
      <c r="E10" s="18"/>
      <c r="F10" s="19"/>
      <c r="J10" s="3"/>
    </row>
    <row r="11" spans="1:10" x14ac:dyDescent="0.3">
      <c r="A11" s="3"/>
      <c r="B11" s="28" t="s">
        <v>19</v>
      </c>
      <c r="C11" s="32">
        <f>(C10*_xlfn.XLOOKUP(C2,F3:F6,G3:G6))/52</f>
        <v>1153.8461538461538</v>
      </c>
      <c r="D11" s="20"/>
      <c r="E11" s="21"/>
      <c r="F11" s="19"/>
      <c r="J11" s="3"/>
    </row>
    <row r="12" spans="1:10" x14ac:dyDescent="0.3">
      <c r="A12" s="3"/>
      <c r="B12" s="28" t="s">
        <v>20</v>
      </c>
      <c r="C12" s="29">
        <f>C11*C6</f>
        <v>1038.4615384615386</v>
      </c>
      <c r="D12" s="20"/>
      <c r="E12" s="17"/>
      <c r="F12" s="19"/>
      <c r="J12" s="3"/>
    </row>
    <row r="13" spans="1:10" x14ac:dyDescent="0.3">
      <c r="A13" s="3"/>
      <c r="B13" s="33" t="s">
        <v>15</v>
      </c>
      <c r="C13" s="31">
        <f>C12*C3</f>
        <v>6230.7692307692314</v>
      </c>
      <c r="D13" s="22"/>
      <c r="E13" s="23"/>
      <c r="F13" s="24"/>
      <c r="J13" s="3"/>
    </row>
    <row r="14" spans="1:10" x14ac:dyDescent="0.3">
      <c r="A14" s="3"/>
      <c r="B14" s="33" t="s">
        <v>16</v>
      </c>
      <c r="C14" s="31">
        <f>IF(C11&gt;C1,C1,C11)*C4</f>
        <v>6412.5599999999995</v>
      </c>
      <c r="D14" s="22"/>
      <c r="E14" s="23"/>
      <c r="F14" s="24"/>
      <c r="J14" s="3"/>
    </row>
    <row r="15" spans="1:10" x14ac:dyDescent="0.3">
      <c r="A15" s="3"/>
      <c r="B15" s="9" t="s">
        <v>17</v>
      </c>
      <c r="C15" s="10">
        <f>C13+C14</f>
        <v>12643.329230769232</v>
      </c>
      <c r="D15" s="25"/>
      <c r="E15" s="26"/>
      <c r="F15" s="24"/>
      <c r="J15" s="3"/>
    </row>
    <row r="16" spans="1:10" x14ac:dyDescent="0.3">
      <c r="C16" s="1"/>
      <c r="D16" s="15"/>
      <c r="E16" s="15"/>
      <c r="F16" s="24"/>
      <c r="G16" s="11"/>
      <c r="I16" s="1"/>
    </row>
    <row r="17" spans="3:9" x14ac:dyDescent="0.3">
      <c r="C17" s="1"/>
      <c r="D17" s="12"/>
      <c r="E17" s="12"/>
      <c r="F17" s="34"/>
      <c r="G17" s="11"/>
      <c r="I17" s="1"/>
    </row>
    <row r="18" spans="3:9" x14ac:dyDescent="0.3">
      <c r="D18" s="12"/>
      <c r="E18" s="12"/>
      <c r="F18" s="12"/>
      <c r="G18" s="11"/>
    </row>
    <row r="19" spans="3:9" x14ac:dyDescent="0.3">
      <c r="C19" s="1"/>
      <c r="G19" s="11"/>
      <c r="I19" s="1"/>
    </row>
    <row r="20" spans="3:9" x14ac:dyDescent="0.3">
      <c r="E20" s="11"/>
      <c r="G20" s="11"/>
    </row>
    <row r="21" spans="3:9" x14ac:dyDescent="0.3">
      <c r="G21" s="11"/>
      <c r="H21" s="11"/>
    </row>
    <row r="22" spans="3:9" x14ac:dyDescent="0.3">
      <c r="E22" s="11"/>
    </row>
    <row r="26" spans="3:9" x14ac:dyDescent="0.3">
      <c r="D26" s="3"/>
      <c r="E26" s="3"/>
    </row>
    <row r="27" spans="3:9" x14ac:dyDescent="0.3">
      <c r="G27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Saugat KC</dc:creator>
  <cp:lastModifiedBy>Saugat KC</cp:lastModifiedBy>
  <dcterms:created xsi:type="dcterms:W3CDTF">2026-05-04T04:47:35Z</dcterms:created>
  <dcterms:modified xsi:type="dcterms:W3CDTF">2026-05-04T08:38:16Z</dcterms:modified>
</cp:coreProperties>
</file>